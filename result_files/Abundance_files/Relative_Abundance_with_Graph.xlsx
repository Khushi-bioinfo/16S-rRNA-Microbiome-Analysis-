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hushi\output_files\qiime2\abundance_tables\"/>
    </mc:Choice>
  </mc:AlternateContent>
  <xr:revisionPtr revIDLastSave="0" documentId="8_{B90296EA-13B4-4728-89E6-725DF774EB4E}" xr6:coauthVersionLast="47" xr6:coauthVersionMax="47" xr10:uidLastSave="{00000000-0000-0000-0000-000000000000}"/>
  <bookViews>
    <workbookView xWindow="-108" yWindow="-108" windowWidth="23256" windowHeight="12456" xr2:uid="{94F1DBA0-0368-473D-A4D2-CB612D2D3797}"/>
  </bookViews>
  <sheets>
    <sheet name="Relative_Abundance_with_Graph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2" i="1"/>
  <c r="G2" i="1"/>
</calcChain>
</file>

<file path=xl/sharedStrings.xml><?xml version="1.0" encoding="utf-8"?>
<sst xmlns="http://schemas.openxmlformats.org/spreadsheetml/2006/main" count="373" uniqueCount="128">
  <si>
    <t>#OTU ID</t>
  </si>
  <si>
    <t>sample</t>
  </si>
  <si>
    <t>Bacteria</t>
  </si>
  <si>
    <t>Firmicutes</t>
  </si>
  <si>
    <t>Bacilli</t>
  </si>
  <si>
    <t>Erysipelotrichales</t>
  </si>
  <si>
    <t>Erysipelatoclostridiaceae</t>
  </si>
  <si>
    <t>Erysipelatoclostridium</t>
  </si>
  <si>
    <t>Clostridia</t>
  </si>
  <si>
    <t>Lachnospirales</t>
  </si>
  <si>
    <t>Lachnospiraceae</t>
  </si>
  <si>
    <t>Oscillospirales</t>
  </si>
  <si>
    <t>Oscillospiraceae</t>
  </si>
  <si>
    <t>Flavonifractor</t>
  </si>
  <si>
    <t>Peptostreptococcales-Tissierellales</t>
  </si>
  <si>
    <t>Family XI</t>
  </si>
  <si>
    <t>Ezakiella</t>
  </si>
  <si>
    <t>Eisenbergiella</t>
  </si>
  <si>
    <t>Actinobacteriota</t>
  </si>
  <si>
    <t>Coriobacteriia</t>
  </si>
  <si>
    <t>Coriobacteriales</t>
  </si>
  <si>
    <t>Coriobacteriaceae</t>
  </si>
  <si>
    <t>Collinsella</t>
  </si>
  <si>
    <t>Bacteroidota</t>
  </si>
  <si>
    <t>Bacteroidia</t>
  </si>
  <si>
    <t>Bacteroidales</t>
  </si>
  <si>
    <t>Prevotellaceae</t>
  </si>
  <si>
    <t>Prevotella</t>
  </si>
  <si>
    <t>Frisingicoccus</t>
  </si>
  <si>
    <t>Peptoniphilus</t>
  </si>
  <si>
    <t>Ruminococcaceae</t>
  </si>
  <si>
    <t>Negativibacillus</t>
  </si>
  <si>
    <t>[Ruminococcus] torques group</t>
  </si>
  <si>
    <t>Prevotella_9</t>
  </si>
  <si>
    <t>Lachnoclostridium</t>
  </si>
  <si>
    <t>Actinobacteria</t>
  </si>
  <si>
    <t>Corynebacteriales</t>
  </si>
  <si>
    <t>Corynebacteriaceae</t>
  </si>
  <si>
    <t>Lawsonella</t>
  </si>
  <si>
    <t>Eggerthellaceae</t>
  </si>
  <si>
    <t>Adlercreutzia</t>
  </si>
  <si>
    <t>Faecalibacterium</t>
  </si>
  <si>
    <t>Tuzzerella</t>
  </si>
  <si>
    <t>Negativicutes</t>
  </si>
  <si>
    <t>Veillonellales-Selenomonadales</t>
  </si>
  <si>
    <t>Veillonellaceae</t>
  </si>
  <si>
    <t>Dialister</t>
  </si>
  <si>
    <t>Anaerococcus</t>
  </si>
  <si>
    <t>Blautia</t>
  </si>
  <si>
    <t>Lactobacillales</t>
  </si>
  <si>
    <t>Streptococcaceae</t>
  </si>
  <si>
    <t>Streptococcus</t>
  </si>
  <si>
    <t>Actinomycetales</t>
  </si>
  <si>
    <t>Actinomycetaceae</t>
  </si>
  <si>
    <t>Actinomyces</t>
  </si>
  <si>
    <t>Bacteroidaceae</t>
  </si>
  <si>
    <t>Bacteroides</t>
  </si>
  <si>
    <t>Sellimonas</t>
  </si>
  <si>
    <t>[Eubacterium] fissicatena group</t>
  </si>
  <si>
    <t>Peptostreptococcaceae</t>
  </si>
  <si>
    <t>Peptostreptococcus</t>
  </si>
  <si>
    <t>UBA1819</t>
  </si>
  <si>
    <t>Tannerellaceae</t>
  </si>
  <si>
    <t>Parabacteroides</t>
  </si>
  <si>
    <t>Intestinibacter</t>
  </si>
  <si>
    <t>Porphyromonadaceae</t>
  </si>
  <si>
    <t>Porphyromonas</t>
  </si>
  <si>
    <t>Eggerthella</t>
  </si>
  <si>
    <t>Fournierella</t>
  </si>
  <si>
    <t>[Ruminococcus] gauvreauii group</t>
  </si>
  <si>
    <t>Incertae Sedis</t>
  </si>
  <si>
    <t>Eubacteriales</t>
  </si>
  <si>
    <t>Eubacteriaceae</t>
  </si>
  <si>
    <t>Eubacterium</t>
  </si>
  <si>
    <t>Marinifilaceae</t>
  </si>
  <si>
    <t>Odoribacter</t>
  </si>
  <si>
    <t>DTU089</t>
  </si>
  <si>
    <t>Oscillibacter</t>
  </si>
  <si>
    <t>Phocea</t>
  </si>
  <si>
    <t>Erysipelotrichaceae</t>
  </si>
  <si>
    <t>Holdemania</t>
  </si>
  <si>
    <t>Desulfobacterota</t>
  </si>
  <si>
    <t>Desulfovibrionia</t>
  </si>
  <si>
    <t>Desulfovibrionales</t>
  </si>
  <si>
    <t>Desulfovibrionaceae</t>
  </si>
  <si>
    <t>Bilophila</t>
  </si>
  <si>
    <t>Butyricicoccaceae</t>
  </si>
  <si>
    <t>Butyricicoccus</t>
  </si>
  <si>
    <t>Corynebacterium</t>
  </si>
  <si>
    <t>[Eubacterium] coprostanoligenes group</t>
  </si>
  <si>
    <t>Murdochiella</t>
  </si>
  <si>
    <t>UC5-1-2E3</t>
  </si>
  <si>
    <t>Enterococcaceae</t>
  </si>
  <si>
    <t>Enterococcus</t>
  </si>
  <si>
    <t>Acidaminococcales</t>
  </si>
  <si>
    <t>Acidaminococcaceae</t>
  </si>
  <si>
    <t>Phascolarctobacterium</t>
  </si>
  <si>
    <t>Rikenellaceae</t>
  </si>
  <si>
    <t>Alistipes</t>
  </si>
  <si>
    <t>Negativicoccus</t>
  </si>
  <si>
    <t>Colidextribacter</t>
  </si>
  <si>
    <t>Candidatus Stoquefichus</t>
  </si>
  <si>
    <t>[Ruminococcus] gnavus group</t>
  </si>
  <si>
    <t>Candidatus Soleaferrea</t>
  </si>
  <si>
    <t>Anaerostipes</t>
  </si>
  <si>
    <t>Proteobacteria</t>
  </si>
  <si>
    <t>Gammaproteobacteria</t>
  </si>
  <si>
    <t>Burkholderiales</t>
  </si>
  <si>
    <t>Sutterellaceae</t>
  </si>
  <si>
    <t>Parasutterella</t>
  </si>
  <si>
    <t>Verrucomicrobiota</t>
  </si>
  <si>
    <t>Verrucomicrobiae</t>
  </si>
  <si>
    <t>Verrucomicrobiales</t>
  </si>
  <si>
    <t>Akkermansiaceae</t>
  </si>
  <si>
    <t>Akkermansia</t>
  </si>
  <si>
    <t>[Clostridium] innocuum group</t>
  </si>
  <si>
    <t>Finegoldia</t>
  </si>
  <si>
    <t>Bifidobacteriales</t>
  </si>
  <si>
    <t>Bifidobacteriaceae</t>
  </si>
  <si>
    <t>Bifidobacterium</t>
  </si>
  <si>
    <t>Kingdom</t>
  </si>
  <si>
    <t>Phylum</t>
  </si>
  <si>
    <t>Genus</t>
  </si>
  <si>
    <t>Abundance</t>
  </si>
  <si>
    <t>Class</t>
  </si>
  <si>
    <t>Order</t>
  </si>
  <si>
    <t>Family</t>
  </si>
  <si>
    <t>Relative_abundance 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</si>
</sst>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8.9385286066710702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640638670166235E-2"/>
          <c:y val="0.17171296296296298"/>
          <c:w val="0.90297462817147855"/>
          <c:h val="0.435700277048702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Relative_Abundance_with_Graph!$H$1</c:f>
              <c:strCache>
                <c:ptCount val="1"/>
                <c:pt idx="0">
                  <c:v>Relative_abundance  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Relative_Abundance_with_Graph!$F$2:$F$63</c:f>
              <c:strCache>
                <c:ptCount val="62"/>
                <c:pt idx="1">
                  <c:v>Erysipelatoclostridium</c:v>
                </c:pt>
                <c:pt idx="3">
                  <c:v>Flavonifractor</c:v>
                </c:pt>
                <c:pt idx="4">
                  <c:v>Ezakiella</c:v>
                </c:pt>
                <c:pt idx="5">
                  <c:v>Eisenbergiella</c:v>
                </c:pt>
                <c:pt idx="6">
                  <c:v>Collinsella</c:v>
                </c:pt>
                <c:pt idx="7">
                  <c:v>Prevotella</c:v>
                </c:pt>
                <c:pt idx="8">
                  <c:v>Frisingicoccus</c:v>
                </c:pt>
                <c:pt idx="9">
                  <c:v>Peptoniphilus</c:v>
                </c:pt>
                <c:pt idx="10">
                  <c:v>Negativibacillus</c:v>
                </c:pt>
                <c:pt idx="11">
                  <c:v>[Ruminococcus] torques group</c:v>
                </c:pt>
                <c:pt idx="13">
                  <c:v>Prevotella_9</c:v>
                </c:pt>
                <c:pt idx="14">
                  <c:v>Lachnoclostridium</c:v>
                </c:pt>
                <c:pt idx="15">
                  <c:v>Lawsonella</c:v>
                </c:pt>
                <c:pt idx="16">
                  <c:v>Adlercreutzia</c:v>
                </c:pt>
                <c:pt idx="17">
                  <c:v>Faecalibacterium</c:v>
                </c:pt>
                <c:pt idx="18">
                  <c:v>Tuzzerella</c:v>
                </c:pt>
                <c:pt idx="19">
                  <c:v>Dialister</c:v>
                </c:pt>
                <c:pt idx="20">
                  <c:v>Anaerococcus</c:v>
                </c:pt>
                <c:pt idx="21">
                  <c:v>Blautia</c:v>
                </c:pt>
                <c:pt idx="22">
                  <c:v>Streptococcus</c:v>
                </c:pt>
                <c:pt idx="23">
                  <c:v>Actinomyces</c:v>
                </c:pt>
                <c:pt idx="24">
                  <c:v>Bacteroides</c:v>
                </c:pt>
                <c:pt idx="25">
                  <c:v>Sellimonas</c:v>
                </c:pt>
                <c:pt idx="26">
                  <c:v>[Eubacterium] fissicatena group</c:v>
                </c:pt>
                <c:pt idx="27">
                  <c:v>Peptostreptococcus</c:v>
                </c:pt>
                <c:pt idx="28">
                  <c:v>UBA1819</c:v>
                </c:pt>
                <c:pt idx="29">
                  <c:v>Parabacteroides</c:v>
                </c:pt>
                <c:pt idx="30">
                  <c:v>Intestinibacter</c:v>
                </c:pt>
                <c:pt idx="31">
                  <c:v>Porphyromonas</c:v>
                </c:pt>
                <c:pt idx="32">
                  <c:v>Eggerthella</c:v>
                </c:pt>
                <c:pt idx="33">
                  <c:v>Fournierella</c:v>
                </c:pt>
                <c:pt idx="34">
                  <c:v>[Ruminococcus] gauvreauii group</c:v>
                </c:pt>
                <c:pt idx="35">
                  <c:v>Incertae Sedis</c:v>
                </c:pt>
                <c:pt idx="36">
                  <c:v>Eubacterium</c:v>
                </c:pt>
                <c:pt idx="37">
                  <c:v>Odoribacter</c:v>
                </c:pt>
                <c:pt idx="38">
                  <c:v>DTU089</c:v>
                </c:pt>
                <c:pt idx="39">
                  <c:v>Oscillibacter</c:v>
                </c:pt>
                <c:pt idx="40">
                  <c:v>Phocea</c:v>
                </c:pt>
                <c:pt idx="41">
                  <c:v>Holdemania</c:v>
                </c:pt>
                <c:pt idx="42">
                  <c:v>Bilophila</c:v>
                </c:pt>
                <c:pt idx="43">
                  <c:v>Butyricicoccus</c:v>
                </c:pt>
                <c:pt idx="44">
                  <c:v>Corynebacterium</c:v>
                </c:pt>
                <c:pt idx="46">
                  <c:v>Murdochiella</c:v>
                </c:pt>
                <c:pt idx="47">
                  <c:v>UC5-1-2E3</c:v>
                </c:pt>
                <c:pt idx="48">
                  <c:v>Enterococcus</c:v>
                </c:pt>
                <c:pt idx="49">
                  <c:v>Phascolarctobacterium</c:v>
                </c:pt>
                <c:pt idx="50">
                  <c:v>Alistipes</c:v>
                </c:pt>
                <c:pt idx="51">
                  <c:v>Negativicoccus</c:v>
                </c:pt>
                <c:pt idx="52">
                  <c:v>Colidextribacter</c:v>
                </c:pt>
                <c:pt idx="53">
                  <c:v>Candidatus Stoquefichus</c:v>
                </c:pt>
                <c:pt idx="54">
                  <c:v>[Ruminococcus] gnavus group</c:v>
                </c:pt>
                <c:pt idx="55">
                  <c:v>Candidatus Soleaferrea</c:v>
                </c:pt>
                <c:pt idx="56">
                  <c:v>Anaerostipes</c:v>
                </c:pt>
                <c:pt idx="57">
                  <c:v>Parasutterella</c:v>
                </c:pt>
                <c:pt idx="58">
                  <c:v>Akkermansia</c:v>
                </c:pt>
                <c:pt idx="59">
                  <c:v>[Clostridium] innocuum group</c:v>
                </c:pt>
                <c:pt idx="60">
                  <c:v>Finegoldia</c:v>
                </c:pt>
                <c:pt idx="61">
                  <c:v>Bifidobacterium</c:v>
                </c:pt>
              </c:strCache>
            </c:strRef>
          </c:cat>
          <c:val>
            <c:numRef>
              <c:f>Relative_Abundance_with_Graph!$H$2:$H$63</c:f>
              <c:numCache>
                <c:formatCode>General</c:formatCode>
                <c:ptCount val="62"/>
                <c:pt idx="0">
                  <c:v>22.016492326486979</c:v>
                </c:pt>
                <c:pt idx="1">
                  <c:v>0.48484385737191721</c:v>
                </c:pt>
                <c:pt idx="2">
                  <c:v>1.0460410781094907</c:v>
                </c:pt>
                <c:pt idx="3">
                  <c:v>0.48866152554020004</c:v>
                </c:pt>
                <c:pt idx="4">
                  <c:v>3.8176681682828131E-2</c:v>
                </c:pt>
                <c:pt idx="5">
                  <c:v>2.2906009009696877E-2</c:v>
                </c:pt>
                <c:pt idx="6">
                  <c:v>1.1758417958311065</c:v>
                </c:pt>
                <c:pt idx="7">
                  <c:v>0.98114071924868296</c:v>
                </c:pt>
                <c:pt idx="8">
                  <c:v>0.12216538138505001</c:v>
                </c:pt>
                <c:pt idx="9">
                  <c:v>1.9966404520119112</c:v>
                </c:pt>
                <c:pt idx="10">
                  <c:v>8.0171031533939077E-2</c:v>
                </c:pt>
                <c:pt idx="11">
                  <c:v>2.0691761472092849</c:v>
                </c:pt>
                <c:pt idx="12">
                  <c:v>0.1450713903947469</c:v>
                </c:pt>
                <c:pt idx="13">
                  <c:v>13.148049171566006</c:v>
                </c:pt>
                <c:pt idx="14">
                  <c:v>1.8401160571123159</c:v>
                </c:pt>
                <c:pt idx="15">
                  <c:v>4.5812018019393753E-2</c:v>
                </c:pt>
                <c:pt idx="16">
                  <c:v>4.9629686187676575E-2</c:v>
                </c:pt>
                <c:pt idx="17">
                  <c:v>1.1147591051385815</c:v>
                </c:pt>
                <c:pt idx="18">
                  <c:v>0.32831946247232191</c:v>
                </c:pt>
                <c:pt idx="19">
                  <c:v>0.26723677177979693</c:v>
                </c:pt>
                <c:pt idx="20">
                  <c:v>1.5652439489959531</c:v>
                </c:pt>
                <c:pt idx="21">
                  <c:v>8.9333435137817823</c:v>
                </c:pt>
                <c:pt idx="22">
                  <c:v>0.1450713903947469</c:v>
                </c:pt>
                <c:pt idx="23">
                  <c:v>4.9629686187676575E-2</c:v>
                </c:pt>
                <c:pt idx="24">
                  <c:v>22.016492326486979</c:v>
                </c:pt>
                <c:pt idx="25">
                  <c:v>0.33977246697717034</c:v>
                </c:pt>
                <c:pt idx="26">
                  <c:v>1.9088340841414066E-2</c:v>
                </c:pt>
                <c:pt idx="27">
                  <c:v>0.62991524776666408</c:v>
                </c:pt>
                <c:pt idx="28">
                  <c:v>4.5812018019393753E-2</c:v>
                </c:pt>
                <c:pt idx="29">
                  <c:v>4.0581812628846308</c:v>
                </c:pt>
                <c:pt idx="30">
                  <c:v>5.3447354355959376E-2</c:v>
                </c:pt>
                <c:pt idx="31">
                  <c:v>1.1453004504848438E-2</c:v>
                </c:pt>
                <c:pt idx="32">
                  <c:v>8.7806367870504692E-2</c:v>
                </c:pt>
                <c:pt idx="33">
                  <c:v>0.23669542643353442</c:v>
                </c:pt>
                <c:pt idx="34">
                  <c:v>3.4359013514545317E-2</c:v>
                </c:pt>
                <c:pt idx="35">
                  <c:v>6.8718027029090634E-2</c:v>
                </c:pt>
                <c:pt idx="36">
                  <c:v>4.1994349851110946E-2</c:v>
                </c:pt>
                <c:pt idx="37">
                  <c:v>9.1624036038787507E-2</c:v>
                </c:pt>
                <c:pt idx="38">
                  <c:v>7.6353363365656256E-3</c:v>
                </c:pt>
                <c:pt idx="39">
                  <c:v>0.12980071772161564</c:v>
                </c:pt>
                <c:pt idx="40">
                  <c:v>2.2906009009696877E-2</c:v>
                </c:pt>
                <c:pt idx="41">
                  <c:v>3.4359013514545317E-2</c:v>
                </c:pt>
                <c:pt idx="42">
                  <c:v>0.47720852103535166</c:v>
                </c:pt>
                <c:pt idx="43">
                  <c:v>0.45812018019393752</c:v>
                </c:pt>
                <c:pt idx="44">
                  <c:v>8.3988699702221892E-2</c:v>
                </c:pt>
                <c:pt idx="45">
                  <c:v>1.5270672673131251E-2</c:v>
                </c:pt>
                <c:pt idx="46">
                  <c:v>2.2906009009696877E-2</c:v>
                </c:pt>
                <c:pt idx="47">
                  <c:v>4.1994349851110946E-2</c:v>
                </c:pt>
                <c:pt idx="48">
                  <c:v>5.726502252424219E-2</c:v>
                </c:pt>
                <c:pt idx="49">
                  <c:v>0.5917385660838359</c:v>
                </c:pt>
                <c:pt idx="50">
                  <c:v>0.15652439489959533</c:v>
                </c:pt>
                <c:pt idx="51">
                  <c:v>5.3447354355959376E-2</c:v>
                </c:pt>
                <c:pt idx="52">
                  <c:v>0.30159578529434222</c:v>
                </c:pt>
                <c:pt idx="53">
                  <c:v>3.8176681682828131E-2</c:v>
                </c:pt>
                <c:pt idx="54">
                  <c:v>1.9088340841414067</c:v>
                </c:pt>
                <c:pt idx="55">
                  <c:v>2.6723677177979688E-2</c:v>
                </c:pt>
                <c:pt idx="56">
                  <c:v>0.37031381232343286</c:v>
                </c:pt>
                <c:pt idx="57">
                  <c:v>1.8248453844391845</c:v>
                </c:pt>
                <c:pt idx="58">
                  <c:v>0.13743605405818127</c:v>
                </c:pt>
                <c:pt idx="59">
                  <c:v>0.10689470871191875</c:v>
                </c:pt>
                <c:pt idx="60">
                  <c:v>5.1500343590135147</c:v>
                </c:pt>
                <c:pt idx="61">
                  <c:v>2.0920821562189813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D-4575-8D5E-CA8D3CD25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0211823"/>
        <c:axId val="1010198863"/>
        <c:axId val="0"/>
      </c:bar3DChart>
      <c:catAx>
        <c:axId val="101021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198863"/>
        <c:crosses val="autoZero"/>
        <c:auto val="1"/>
        <c:lblAlgn val="ctr"/>
        <c:lblOffset val="100"/>
        <c:noMultiLvlLbl val="0"/>
      </c:catAx>
      <c:valAx>
        <c:axId val="101019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1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5</xdr:row>
      <xdr:rowOff>99060</xdr:rowOff>
    </xdr:from>
    <xdr:to>
      <xdr:col>15</xdr:col>
      <xdr:colOff>236220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8CDE7-5309-935B-6541-43D1EC396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11D8-E563-4908-81D1-D1573A241F2D}">
  <dimension ref="A1:H63"/>
  <sheetViews>
    <sheetView tabSelected="1" zoomScaleNormal="100" workbookViewId="0">
      <selection activeCell="M21" sqref="M21"/>
    </sheetView>
  </sheetViews>
  <sheetFormatPr defaultRowHeight="14.4" x14ac:dyDescent="0.3"/>
  <cols>
    <col min="2" max="2" width="29.33203125" customWidth="1"/>
    <col min="3" max="3" width="23.44140625" customWidth="1"/>
    <col min="4" max="4" width="26.21875" customWidth="1"/>
    <col min="5" max="5" width="33.44140625" customWidth="1"/>
    <col min="6" max="6" width="27.44140625" customWidth="1"/>
    <col min="8" max="8" width="20.77734375" customWidth="1"/>
  </cols>
  <sheetData>
    <row r="1" spans="1:8" x14ac:dyDescent="0.3">
      <c r="A1" t="s">
        <v>120</v>
      </c>
      <c r="B1" t="s">
        <v>121</v>
      </c>
      <c r="C1" t="s">
        <v>124</v>
      </c>
      <c r="D1" t="s">
        <v>125</v>
      </c>
      <c r="E1" t="s">
        <v>126</v>
      </c>
      <c r="F1" t="s">
        <v>122</v>
      </c>
      <c r="G1" t="s">
        <v>123</v>
      </c>
      <c r="H1" t="s">
        <v>127</v>
      </c>
    </row>
    <row r="2" spans="1:8" x14ac:dyDescent="0.3">
      <c r="A2" t="s">
        <v>0</v>
      </c>
      <c r="B2" t="s">
        <v>1</v>
      </c>
      <c r="G2">
        <f>MAX(G3:G63)</f>
        <v>5767</v>
      </c>
      <c r="H2">
        <f xml:space="preserve"> G2 / SUM($G$2:$G$100)*100</f>
        <v>22.016492326486979</v>
      </c>
    </row>
    <row r="3" spans="1:8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>
        <v>127</v>
      </c>
      <c r="H3">
        <f t="shared" ref="H3:H63" si="0" xml:space="preserve"> G3 / SUM($G$2:$G$100)*100</f>
        <v>0.48484385737191721</v>
      </c>
    </row>
    <row r="4" spans="1:8" x14ac:dyDescent="0.3">
      <c r="A4" t="s">
        <v>2</v>
      </c>
      <c r="B4" t="s">
        <v>3</v>
      </c>
      <c r="C4" t="s">
        <v>8</v>
      </c>
      <c r="D4" t="s">
        <v>9</v>
      </c>
      <c r="E4" t="s">
        <v>10</v>
      </c>
      <c r="G4">
        <v>274</v>
      </c>
      <c r="H4">
        <f t="shared" si="0"/>
        <v>1.0460410781094907</v>
      </c>
    </row>
    <row r="5" spans="1:8" x14ac:dyDescent="0.3">
      <c r="A5" t="s">
        <v>2</v>
      </c>
      <c r="B5" t="s">
        <v>3</v>
      </c>
      <c r="C5" t="s">
        <v>8</v>
      </c>
      <c r="D5" t="s">
        <v>11</v>
      </c>
      <c r="E5" t="s">
        <v>12</v>
      </c>
      <c r="F5" t="s">
        <v>13</v>
      </c>
      <c r="G5">
        <v>128</v>
      </c>
      <c r="H5">
        <f t="shared" si="0"/>
        <v>0.48866152554020004</v>
      </c>
    </row>
    <row r="6" spans="1:8" x14ac:dyDescent="0.3">
      <c r="A6" t="s">
        <v>2</v>
      </c>
      <c r="B6" t="s">
        <v>3</v>
      </c>
      <c r="C6" t="s">
        <v>8</v>
      </c>
      <c r="D6" t="s">
        <v>14</v>
      </c>
      <c r="E6" t="s">
        <v>15</v>
      </c>
      <c r="F6" t="s">
        <v>16</v>
      </c>
      <c r="G6">
        <v>10</v>
      </c>
      <c r="H6">
        <f t="shared" si="0"/>
        <v>3.8176681682828131E-2</v>
      </c>
    </row>
    <row r="7" spans="1:8" x14ac:dyDescent="0.3">
      <c r="A7" t="s">
        <v>2</v>
      </c>
      <c r="B7" t="s">
        <v>3</v>
      </c>
      <c r="C7" t="s">
        <v>8</v>
      </c>
      <c r="D7" t="s">
        <v>9</v>
      </c>
      <c r="E7" t="s">
        <v>10</v>
      </c>
      <c r="F7" t="s">
        <v>17</v>
      </c>
      <c r="G7">
        <v>6</v>
      </c>
      <c r="H7">
        <f t="shared" si="0"/>
        <v>2.2906009009696877E-2</v>
      </c>
    </row>
    <row r="8" spans="1:8" x14ac:dyDescent="0.3">
      <c r="A8" t="s">
        <v>2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308</v>
      </c>
      <c r="H8">
        <f t="shared" si="0"/>
        <v>1.1758417958311065</v>
      </c>
    </row>
    <row r="9" spans="1:8" x14ac:dyDescent="0.3">
      <c r="A9" t="s">
        <v>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>
        <v>257</v>
      </c>
      <c r="H9">
        <f t="shared" si="0"/>
        <v>0.98114071924868296</v>
      </c>
    </row>
    <row r="10" spans="1:8" x14ac:dyDescent="0.3">
      <c r="A10" t="s">
        <v>2</v>
      </c>
      <c r="B10" t="s">
        <v>3</v>
      </c>
      <c r="C10" t="s">
        <v>8</v>
      </c>
      <c r="D10" t="s">
        <v>9</v>
      </c>
      <c r="E10" t="s">
        <v>10</v>
      </c>
      <c r="F10" t="s">
        <v>28</v>
      </c>
      <c r="G10">
        <v>32</v>
      </c>
      <c r="H10">
        <f t="shared" si="0"/>
        <v>0.12216538138505001</v>
      </c>
    </row>
    <row r="11" spans="1:8" x14ac:dyDescent="0.3">
      <c r="A11" t="s">
        <v>2</v>
      </c>
      <c r="B11" t="s">
        <v>3</v>
      </c>
      <c r="C11" t="s">
        <v>8</v>
      </c>
      <c r="D11" t="s">
        <v>14</v>
      </c>
      <c r="E11" t="s">
        <v>15</v>
      </c>
      <c r="F11" t="s">
        <v>29</v>
      </c>
      <c r="G11">
        <v>523</v>
      </c>
      <c r="H11">
        <f t="shared" si="0"/>
        <v>1.9966404520119112</v>
      </c>
    </row>
    <row r="12" spans="1:8" x14ac:dyDescent="0.3">
      <c r="A12" t="s">
        <v>2</v>
      </c>
      <c r="B12" t="s">
        <v>3</v>
      </c>
      <c r="C12" t="s">
        <v>8</v>
      </c>
      <c r="D12" t="s">
        <v>11</v>
      </c>
      <c r="E12" t="s">
        <v>30</v>
      </c>
      <c r="F12" t="s">
        <v>31</v>
      </c>
      <c r="G12">
        <v>21</v>
      </c>
      <c r="H12">
        <f t="shared" si="0"/>
        <v>8.0171031533939077E-2</v>
      </c>
    </row>
    <row r="13" spans="1:8" x14ac:dyDescent="0.3">
      <c r="A13" t="s">
        <v>2</v>
      </c>
      <c r="B13" t="s">
        <v>3</v>
      </c>
      <c r="C13" t="s">
        <v>8</v>
      </c>
      <c r="D13" t="s">
        <v>9</v>
      </c>
      <c r="E13" t="s">
        <v>10</v>
      </c>
      <c r="F13" t="s">
        <v>32</v>
      </c>
      <c r="G13">
        <v>542</v>
      </c>
      <c r="H13">
        <f t="shared" si="0"/>
        <v>2.0691761472092849</v>
      </c>
    </row>
    <row r="14" spans="1:8" x14ac:dyDescent="0.3">
      <c r="A14" t="s">
        <v>2</v>
      </c>
      <c r="B14" t="s">
        <v>3</v>
      </c>
      <c r="C14" t="s">
        <v>8</v>
      </c>
      <c r="D14" t="s">
        <v>11</v>
      </c>
      <c r="E14" t="s">
        <v>12</v>
      </c>
      <c r="G14">
        <v>38</v>
      </c>
      <c r="H14">
        <f t="shared" si="0"/>
        <v>0.1450713903947469</v>
      </c>
    </row>
    <row r="15" spans="1:8" x14ac:dyDescent="0.3">
      <c r="A15" t="s">
        <v>2</v>
      </c>
      <c r="B15" t="s">
        <v>23</v>
      </c>
      <c r="C15" t="s">
        <v>24</v>
      </c>
      <c r="D15" t="s">
        <v>25</v>
      </c>
      <c r="E15" t="s">
        <v>26</v>
      </c>
      <c r="F15" t="s">
        <v>33</v>
      </c>
      <c r="G15">
        <v>3444</v>
      </c>
      <c r="H15">
        <f t="shared" si="0"/>
        <v>13.148049171566006</v>
      </c>
    </row>
    <row r="16" spans="1:8" x14ac:dyDescent="0.3">
      <c r="A16" t="s">
        <v>2</v>
      </c>
      <c r="B16" t="s">
        <v>3</v>
      </c>
      <c r="C16" t="s">
        <v>8</v>
      </c>
      <c r="D16" t="s">
        <v>9</v>
      </c>
      <c r="E16" t="s">
        <v>10</v>
      </c>
      <c r="F16" t="s">
        <v>34</v>
      </c>
      <c r="G16">
        <v>482</v>
      </c>
      <c r="H16">
        <f t="shared" si="0"/>
        <v>1.8401160571123159</v>
      </c>
    </row>
    <row r="17" spans="1:8" x14ac:dyDescent="0.3">
      <c r="A17" t="s">
        <v>2</v>
      </c>
      <c r="B17" t="s">
        <v>18</v>
      </c>
      <c r="C17" t="s">
        <v>35</v>
      </c>
      <c r="D17" t="s">
        <v>36</v>
      </c>
      <c r="E17" t="s">
        <v>37</v>
      </c>
      <c r="F17" t="s">
        <v>38</v>
      </c>
      <c r="G17">
        <v>12</v>
      </c>
      <c r="H17">
        <f t="shared" si="0"/>
        <v>4.5812018019393753E-2</v>
      </c>
    </row>
    <row r="18" spans="1:8" x14ac:dyDescent="0.3">
      <c r="A18" t="s">
        <v>2</v>
      </c>
      <c r="B18" t="s">
        <v>18</v>
      </c>
      <c r="C18" t="s">
        <v>19</v>
      </c>
      <c r="D18" t="s">
        <v>20</v>
      </c>
      <c r="E18" t="s">
        <v>39</v>
      </c>
      <c r="F18" t="s">
        <v>40</v>
      </c>
      <c r="G18">
        <v>13</v>
      </c>
      <c r="H18">
        <f t="shared" si="0"/>
        <v>4.9629686187676575E-2</v>
      </c>
    </row>
    <row r="19" spans="1:8" x14ac:dyDescent="0.3">
      <c r="A19" t="s">
        <v>2</v>
      </c>
      <c r="B19" t="s">
        <v>3</v>
      </c>
      <c r="C19" t="s">
        <v>8</v>
      </c>
      <c r="D19" t="s">
        <v>11</v>
      </c>
      <c r="E19" t="s">
        <v>30</v>
      </c>
      <c r="F19" t="s">
        <v>41</v>
      </c>
      <c r="G19">
        <v>292</v>
      </c>
      <c r="H19">
        <f t="shared" si="0"/>
        <v>1.1147591051385815</v>
      </c>
    </row>
    <row r="20" spans="1:8" x14ac:dyDescent="0.3">
      <c r="A20" t="s">
        <v>2</v>
      </c>
      <c r="B20" t="s">
        <v>3</v>
      </c>
      <c r="C20" t="s">
        <v>8</v>
      </c>
      <c r="D20" t="s">
        <v>9</v>
      </c>
      <c r="E20" t="s">
        <v>10</v>
      </c>
      <c r="F20" t="s">
        <v>42</v>
      </c>
      <c r="G20">
        <v>86</v>
      </c>
      <c r="H20">
        <f t="shared" si="0"/>
        <v>0.32831946247232191</v>
      </c>
    </row>
    <row r="21" spans="1:8" x14ac:dyDescent="0.3">
      <c r="A21" t="s">
        <v>2</v>
      </c>
      <c r="B21" t="s">
        <v>3</v>
      </c>
      <c r="C21" t="s">
        <v>43</v>
      </c>
      <c r="D21" t="s">
        <v>44</v>
      </c>
      <c r="E21" t="s">
        <v>45</v>
      </c>
      <c r="F21" t="s">
        <v>46</v>
      </c>
      <c r="G21">
        <v>70</v>
      </c>
      <c r="H21">
        <f t="shared" si="0"/>
        <v>0.26723677177979693</v>
      </c>
    </row>
    <row r="22" spans="1:8" x14ac:dyDescent="0.3">
      <c r="A22" t="s">
        <v>2</v>
      </c>
      <c r="B22" t="s">
        <v>3</v>
      </c>
      <c r="C22" t="s">
        <v>8</v>
      </c>
      <c r="D22" t="s">
        <v>14</v>
      </c>
      <c r="E22" t="s">
        <v>15</v>
      </c>
      <c r="F22" t="s">
        <v>47</v>
      </c>
      <c r="G22">
        <v>410</v>
      </c>
      <c r="H22">
        <f t="shared" si="0"/>
        <v>1.5652439489959531</v>
      </c>
    </row>
    <row r="23" spans="1:8" x14ac:dyDescent="0.3">
      <c r="A23" t="s">
        <v>2</v>
      </c>
      <c r="B23" t="s">
        <v>3</v>
      </c>
      <c r="C23" t="s">
        <v>8</v>
      </c>
      <c r="D23" t="s">
        <v>9</v>
      </c>
      <c r="E23" t="s">
        <v>10</v>
      </c>
      <c r="F23" t="s">
        <v>48</v>
      </c>
      <c r="G23">
        <v>2340</v>
      </c>
      <c r="H23">
        <f t="shared" si="0"/>
        <v>8.9333435137817823</v>
      </c>
    </row>
    <row r="24" spans="1:8" x14ac:dyDescent="0.3">
      <c r="A24" t="s">
        <v>2</v>
      </c>
      <c r="B24" t="s">
        <v>3</v>
      </c>
      <c r="C24" t="s">
        <v>4</v>
      </c>
      <c r="D24" t="s">
        <v>49</v>
      </c>
      <c r="E24" t="s">
        <v>50</v>
      </c>
      <c r="F24" t="s">
        <v>51</v>
      </c>
      <c r="G24">
        <v>38</v>
      </c>
      <c r="H24">
        <f t="shared" si="0"/>
        <v>0.1450713903947469</v>
      </c>
    </row>
    <row r="25" spans="1:8" x14ac:dyDescent="0.3">
      <c r="A25" t="s">
        <v>2</v>
      </c>
      <c r="B25" t="s">
        <v>18</v>
      </c>
      <c r="C25" t="s">
        <v>35</v>
      </c>
      <c r="D25" t="s">
        <v>52</v>
      </c>
      <c r="E25" t="s">
        <v>53</v>
      </c>
      <c r="F25" t="s">
        <v>54</v>
      </c>
      <c r="G25">
        <v>13</v>
      </c>
      <c r="H25">
        <f t="shared" si="0"/>
        <v>4.9629686187676575E-2</v>
      </c>
    </row>
    <row r="26" spans="1:8" x14ac:dyDescent="0.3">
      <c r="A26" t="s">
        <v>2</v>
      </c>
      <c r="B26" t="s">
        <v>23</v>
      </c>
      <c r="C26" t="s">
        <v>24</v>
      </c>
      <c r="D26" t="s">
        <v>25</v>
      </c>
      <c r="E26" t="s">
        <v>55</v>
      </c>
      <c r="F26" s="1" t="s">
        <v>56</v>
      </c>
      <c r="G26">
        <v>5767</v>
      </c>
      <c r="H26">
        <f t="shared" si="0"/>
        <v>22.016492326486979</v>
      </c>
    </row>
    <row r="27" spans="1:8" x14ac:dyDescent="0.3">
      <c r="A27" t="s">
        <v>2</v>
      </c>
      <c r="B27" t="s">
        <v>3</v>
      </c>
      <c r="C27" t="s">
        <v>8</v>
      </c>
      <c r="D27" t="s">
        <v>9</v>
      </c>
      <c r="E27" t="s">
        <v>10</v>
      </c>
      <c r="F27" t="s">
        <v>57</v>
      </c>
      <c r="G27">
        <v>89</v>
      </c>
      <c r="H27">
        <f t="shared" si="0"/>
        <v>0.33977246697717034</v>
      </c>
    </row>
    <row r="28" spans="1:8" x14ac:dyDescent="0.3">
      <c r="A28" t="s">
        <v>2</v>
      </c>
      <c r="B28" t="s">
        <v>3</v>
      </c>
      <c r="C28" t="s">
        <v>8</v>
      </c>
      <c r="D28" t="s">
        <v>9</v>
      </c>
      <c r="E28" t="s">
        <v>10</v>
      </c>
      <c r="F28" t="s">
        <v>58</v>
      </c>
      <c r="G28">
        <v>5</v>
      </c>
      <c r="H28">
        <f t="shared" si="0"/>
        <v>1.9088340841414066E-2</v>
      </c>
    </row>
    <row r="29" spans="1:8" x14ac:dyDescent="0.3">
      <c r="A29" t="s">
        <v>2</v>
      </c>
      <c r="B29" t="s">
        <v>3</v>
      </c>
      <c r="C29" t="s">
        <v>8</v>
      </c>
      <c r="D29" t="s">
        <v>14</v>
      </c>
      <c r="E29" t="s">
        <v>59</v>
      </c>
      <c r="F29" t="s">
        <v>60</v>
      </c>
      <c r="G29">
        <v>165</v>
      </c>
      <c r="H29">
        <f t="shared" si="0"/>
        <v>0.62991524776666408</v>
      </c>
    </row>
    <row r="30" spans="1:8" x14ac:dyDescent="0.3">
      <c r="A30" t="s">
        <v>2</v>
      </c>
      <c r="B30" t="s">
        <v>3</v>
      </c>
      <c r="C30" t="s">
        <v>8</v>
      </c>
      <c r="D30" t="s">
        <v>11</v>
      </c>
      <c r="E30" t="s">
        <v>30</v>
      </c>
      <c r="F30" t="s">
        <v>61</v>
      </c>
      <c r="G30">
        <v>12</v>
      </c>
      <c r="H30">
        <f t="shared" si="0"/>
        <v>4.5812018019393753E-2</v>
      </c>
    </row>
    <row r="31" spans="1:8" x14ac:dyDescent="0.3">
      <c r="A31" t="s">
        <v>2</v>
      </c>
      <c r="B31" t="s">
        <v>23</v>
      </c>
      <c r="C31" t="s">
        <v>24</v>
      </c>
      <c r="D31" t="s">
        <v>25</v>
      </c>
      <c r="E31" t="s">
        <v>62</v>
      </c>
      <c r="F31" t="s">
        <v>63</v>
      </c>
      <c r="G31">
        <v>1063</v>
      </c>
      <c r="H31">
        <f t="shared" si="0"/>
        <v>4.0581812628846308</v>
      </c>
    </row>
    <row r="32" spans="1:8" x14ac:dyDescent="0.3">
      <c r="A32" t="s">
        <v>2</v>
      </c>
      <c r="B32" t="s">
        <v>3</v>
      </c>
      <c r="C32" t="s">
        <v>8</v>
      </c>
      <c r="D32" t="s">
        <v>14</v>
      </c>
      <c r="E32" t="s">
        <v>59</v>
      </c>
      <c r="F32" t="s">
        <v>64</v>
      </c>
      <c r="G32">
        <v>14</v>
      </c>
      <c r="H32">
        <f t="shared" si="0"/>
        <v>5.3447354355959376E-2</v>
      </c>
    </row>
    <row r="33" spans="1:8" x14ac:dyDescent="0.3">
      <c r="A33" t="s">
        <v>2</v>
      </c>
      <c r="B33" t="s">
        <v>23</v>
      </c>
      <c r="C33" t="s">
        <v>24</v>
      </c>
      <c r="D33" t="s">
        <v>25</v>
      </c>
      <c r="E33" t="s">
        <v>65</v>
      </c>
      <c r="F33" t="s">
        <v>66</v>
      </c>
      <c r="G33">
        <v>3</v>
      </c>
      <c r="H33">
        <f t="shared" si="0"/>
        <v>1.1453004504848438E-2</v>
      </c>
    </row>
    <row r="34" spans="1:8" x14ac:dyDescent="0.3">
      <c r="A34" t="s">
        <v>2</v>
      </c>
      <c r="B34" t="s">
        <v>18</v>
      </c>
      <c r="C34" t="s">
        <v>19</v>
      </c>
      <c r="D34" t="s">
        <v>20</v>
      </c>
      <c r="E34" t="s">
        <v>39</v>
      </c>
      <c r="F34" t="s">
        <v>67</v>
      </c>
      <c r="G34">
        <v>23</v>
      </c>
      <c r="H34">
        <f t="shared" si="0"/>
        <v>8.7806367870504692E-2</v>
      </c>
    </row>
    <row r="35" spans="1:8" x14ac:dyDescent="0.3">
      <c r="A35" t="s">
        <v>2</v>
      </c>
      <c r="B35" t="s">
        <v>3</v>
      </c>
      <c r="C35" t="s">
        <v>8</v>
      </c>
      <c r="D35" t="s">
        <v>11</v>
      </c>
      <c r="E35" t="s">
        <v>30</v>
      </c>
      <c r="F35" t="s">
        <v>68</v>
      </c>
      <c r="G35">
        <v>62</v>
      </c>
      <c r="H35">
        <f t="shared" si="0"/>
        <v>0.23669542643353442</v>
      </c>
    </row>
    <row r="36" spans="1:8" x14ac:dyDescent="0.3">
      <c r="A36" t="s">
        <v>2</v>
      </c>
      <c r="B36" t="s">
        <v>3</v>
      </c>
      <c r="C36" t="s">
        <v>8</v>
      </c>
      <c r="D36" t="s">
        <v>9</v>
      </c>
      <c r="E36" t="s">
        <v>10</v>
      </c>
      <c r="F36" t="s">
        <v>69</v>
      </c>
      <c r="G36">
        <v>9</v>
      </c>
      <c r="H36">
        <f t="shared" si="0"/>
        <v>3.4359013514545317E-2</v>
      </c>
    </row>
    <row r="37" spans="1:8" x14ac:dyDescent="0.3">
      <c r="A37" t="s">
        <v>2</v>
      </c>
      <c r="B37" t="s">
        <v>3</v>
      </c>
      <c r="C37" t="s">
        <v>8</v>
      </c>
      <c r="D37" t="s">
        <v>11</v>
      </c>
      <c r="E37" t="s">
        <v>30</v>
      </c>
      <c r="F37" t="s">
        <v>70</v>
      </c>
      <c r="G37">
        <v>18</v>
      </c>
      <c r="H37">
        <f t="shared" si="0"/>
        <v>6.8718027029090634E-2</v>
      </c>
    </row>
    <row r="38" spans="1:8" x14ac:dyDescent="0.3">
      <c r="A38" t="s">
        <v>2</v>
      </c>
      <c r="B38" t="s">
        <v>3</v>
      </c>
      <c r="C38" t="s">
        <v>8</v>
      </c>
      <c r="D38" t="s">
        <v>71</v>
      </c>
      <c r="E38" t="s">
        <v>72</v>
      </c>
      <c r="F38" t="s">
        <v>73</v>
      </c>
      <c r="G38">
        <v>11</v>
      </c>
      <c r="H38">
        <f t="shared" si="0"/>
        <v>4.1994349851110946E-2</v>
      </c>
    </row>
    <row r="39" spans="1:8" x14ac:dyDescent="0.3">
      <c r="A39" t="s">
        <v>2</v>
      </c>
      <c r="B39" t="s">
        <v>23</v>
      </c>
      <c r="C39" t="s">
        <v>24</v>
      </c>
      <c r="D39" t="s">
        <v>25</v>
      </c>
      <c r="E39" t="s">
        <v>74</v>
      </c>
      <c r="F39" t="s">
        <v>75</v>
      </c>
      <c r="G39">
        <v>24</v>
      </c>
      <c r="H39">
        <f t="shared" si="0"/>
        <v>9.1624036038787507E-2</v>
      </c>
    </row>
    <row r="40" spans="1:8" x14ac:dyDescent="0.3">
      <c r="A40" t="s">
        <v>2</v>
      </c>
      <c r="B40" t="s">
        <v>3</v>
      </c>
      <c r="C40" t="s">
        <v>8</v>
      </c>
      <c r="D40" t="s">
        <v>11</v>
      </c>
      <c r="E40" t="s">
        <v>30</v>
      </c>
      <c r="F40" t="s">
        <v>76</v>
      </c>
      <c r="G40">
        <v>2</v>
      </c>
      <c r="H40">
        <f t="shared" si="0"/>
        <v>7.6353363365656256E-3</v>
      </c>
    </row>
    <row r="41" spans="1:8" x14ac:dyDescent="0.3">
      <c r="A41" t="s">
        <v>2</v>
      </c>
      <c r="B41" t="s">
        <v>3</v>
      </c>
      <c r="C41" t="s">
        <v>8</v>
      </c>
      <c r="D41" t="s">
        <v>11</v>
      </c>
      <c r="E41" t="s">
        <v>12</v>
      </c>
      <c r="F41" t="s">
        <v>77</v>
      </c>
      <c r="G41">
        <v>34</v>
      </c>
      <c r="H41">
        <f t="shared" si="0"/>
        <v>0.12980071772161564</v>
      </c>
    </row>
    <row r="42" spans="1:8" x14ac:dyDescent="0.3">
      <c r="A42" t="s">
        <v>2</v>
      </c>
      <c r="B42" t="s">
        <v>3</v>
      </c>
      <c r="C42" t="s">
        <v>8</v>
      </c>
      <c r="D42" t="s">
        <v>11</v>
      </c>
      <c r="E42" t="s">
        <v>30</v>
      </c>
      <c r="F42" t="s">
        <v>78</v>
      </c>
      <c r="G42">
        <v>6</v>
      </c>
      <c r="H42">
        <f t="shared" si="0"/>
        <v>2.2906009009696877E-2</v>
      </c>
    </row>
    <row r="43" spans="1:8" x14ac:dyDescent="0.3">
      <c r="A43" t="s">
        <v>2</v>
      </c>
      <c r="B43" t="s">
        <v>3</v>
      </c>
      <c r="C43" t="s">
        <v>4</v>
      </c>
      <c r="D43" t="s">
        <v>5</v>
      </c>
      <c r="E43" t="s">
        <v>79</v>
      </c>
      <c r="F43" t="s">
        <v>80</v>
      </c>
      <c r="G43">
        <v>9</v>
      </c>
      <c r="H43">
        <f t="shared" si="0"/>
        <v>3.4359013514545317E-2</v>
      </c>
    </row>
    <row r="44" spans="1:8" x14ac:dyDescent="0.3">
      <c r="A44" t="s">
        <v>2</v>
      </c>
      <c r="B44" t="s">
        <v>81</v>
      </c>
      <c r="C44" t="s">
        <v>82</v>
      </c>
      <c r="D44" t="s">
        <v>83</v>
      </c>
      <c r="E44" t="s">
        <v>84</v>
      </c>
      <c r="F44" t="s">
        <v>85</v>
      </c>
      <c r="G44">
        <v>125</v>
      </c>
      <c r="H44">
        <f t="shared" si="0"/>
        <v>0.47720852103535166</v>
      </c>
    </row>
    <row r="45" spans="1:8" x14ac:dyDescent="0.3">
      <c r="A45" t="s">
        <v>2</v>
      </c>
      <c r="B45" t="s">
        <v>3</v>
      </c>
      <c r="C45" t="s">
        <v>8</v>
      </c>
      <c r="D45" t="s">
        <v>11</v>
      </c>
      <c r="E45" t="s">
        <v>86</v>
      </c>
      <c r="F45" t="s">
        <v>87</v>
      </c>
      <c r="G45">
        <v>120</v>
      </c>
      <c r="H45">
        <f t="shared" si="0"/>
        <v>0.45812018019393752</v>
      </c>
    </row>
    <row r="46" spans="1:8" x14ac:dyDescent="0.3">
      <c r="A46" t="s">
        <v>2</v>
      </c>
      <c r="B46" t="s">
        <v>18</v>
      </c>
      <c r="C46" t="s">
        <v>35</v>
      </c>
      <c r="D46" t="s">
        <v>36</v>
      </c>
      <c r="E46" t="s">
        <v>37</v>
      </c>
      <c r="F46" t="s">
        <v>88</v>
      </c>
      <c r="G46">
        <v>22</v>
      </c>
      <c r="H46">
        <f t="shared" si="0"/>
        <v>8.3988699702221892E-2</v>
      </c>
    </row>
    <row r="47" spans="1:8" x14ac:dyDescent="0.3">
      <c r="A47" t="s">
        <v>2</v>
      </c>
      <c r="B47" t="s">
        <v>3</v>
      </c>
      <c r="C47" t="s">
        <v>8</v>
      </c>
      <c r="D47" t="s">
        <v>11</v>
      </c>
      <c r="E47" t="s">
        <v>89</v>
      </c>
      <c r="G47">
        <v>4</v>
      </c>
      <c r="H47">
        <f t="shared" si="0"/>
        <v>1.5270672673131251E-2</v>
      </c>
    </row>
    <row r="48" spans="1:8" x14ac:dyDescent="0.3">
      <c r="A48" t="s">
        <v>2</v>
      </c>
      <c r="B48" t="s">
        <v>3</v>
      </c>
      <c r="C48" t="s">
        <v>8</v>
      </c>
      <c r="D48" t="s">
        <v>14</v>
      </c>
      <c r="E48" t="s">
        <v>15</v>
      </c>
      <c r="F48" t="s">
        <v>90</v>
      </c>
      <c r="G48">
        <v>6</v>
      </c>
      <c r="H48">
        <f t="shared" si="0"/>
        <v>2.2906009009696877E-2</v>
      </c>
    </row>
    <row r="49" spans="1:8" x14ac:dyDescent="0.3">
      <c r="A49" t="s">
        <v>2</v>
      </c>
      <c r="B49" t="s">
        <v>3</v>
      </c>
      <c r="C49" t="s">
        <v>8</v>
      </c>
      <c r="D49" t="s">
        <v>9</v>
      </c>
      <c r="E49" t="s">
        <v>10</v>
      </c>
      <c r="F49" t="s">
        <v>91</v>
      </c>
      <c r="G49">
        <v>11</v>
      </c>
      <c r="H49">
        <f t="shared" si="0"/>
        <v>4.1994349851110946E-2</v>
      </c>
    </row>
    <row r="50" spans="1:8" x14ac:dyDescent="0.3">
      <c r="A50" t="s">
        <v>2</v>
      </c>
      <c r="B50" t="s">
        <v>3</v>
      </c>
      <c r="C50" t="s">
        <v>4</v>
      </c>
      <c r="D50" t="s">
        <v>49</v>
      </c>
      <c r="E50" t="s">
        <v>92</v>
      </c>
      <c r="F50" t="s">
        <v>93</v>
      </c>
      <c r="G50">
        <v>15</v>
      </c>
      <c r="H50">
        <f t="shared" si="0"/>
        <v>5.726502252424219E-2</v>
      </c>
    </row>
    <row r="51" spans="1:8" x14ac:dyDescent="0.3">
      <c r="A51" t="s">
        <v>2</v>
      </c>
      <c r="B51" t="s">
        <v>3</v>
      </c>
      <c r="C51" t="s">
        <v>43</v>
      </c>
      <c r="D51" t="s">
        <v>94</v>
      </c>
      <c r="E51" t="s">
        <v>95</v>
      </c>
      <c r="F51" t="s">
        <v>96</v>
      </c>
      <c r="G51">
        <v>155</v>
      </c>
      <c r="H51">
        <f t="shared" si="0"/>
        <v>0.5917385660838359</v>
      </c>
    </row>
    <row r="52" spans="1:8" x14ac:dyDescent="0.3">
      <c r="A52" t="s">
        <v>2</v>
      </c>
      <c r="B52" t="s">
        <v>23</v>
      </c>
      <c r="C52" t="s">
        <v>24</v>
      </c>
      <c r="D52" t="s">
        <v>25</v>
      </c>
      <c r="E52" t="s">
        <v>97</v>
      </c>
      <c r="F52" t="s">
        <v>98</v>
      </c>
      <c r="G52">
        <v>41</v>
      </c>
      <c r="H52">
        <f t="shared" si="0"/>
        <v>0.15652439489959533</v>
      </c>
    </row>
    <row r="53" spans="1:8" x14ac:dyDescent="0.3">
      <c r="A53" t="s">
        <v>2</v>
      </c>
      <c r="B53" t="s">
        <v>3</v>
      </c>
      <c r="C53" t="s">
        <v>43</v>
      </c>
      <c r="D53" t="s">
        <v>44</v>
      </c>
      <c r="E53" t="s">
        <v>45</v>
      </c>
      <c r="F53" t="s">
        <v>99</v>
      </c>
      <c r="G53">
        <v>14</v>
      </c>
      <c r="H53">
        <f t="shared" si="0"/>
        <v>5.3447354355959376E-2</v>
      </c>
    </row>
    <row r="54" spans="1:8" x14ac:dyDescent="0.3">
      <c r="A54" t="s">
        <v>2</v>
      </c>
      <c r="B54" t="s">
        <v>3</v>
      </c>
      <c r="C54" t="s">
        <v>8</v>
      </c>
      <c r="D54" t="s">
        <v>11</v>
      </c>
      <c r="E54" t="s">
        <v>12</v>
      </c>
      <c r="F54" t="s">
        <v>100</v>
      </c>
      <c r="G54">
        <v>79</v>
      </c>
      <c r="H54">
        <f t="shared" si="0"/>
        <v>0.30159578529434222</v>
      </c>
    </row>
    <row r="55" spans="1:8" x14ac:dyDescent="0.3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101</v>
      </c>
      <c r="G55">
        <v>10</v>
      </c>
      <c r="H55">
        <f t="shared" si="0"/>
        <v>3.8176681682828131E-2</v>
      </c>
    </row>
    <row r="56" spans="1:8" x14ac:dyDescent="0.3">
      <c r="A56" t="s">
        <v>2</v>
      </c>
      <c r="B56" t="s">
        <v>3</v>
      </c>
      <c r="C56" t="s">
        <v>8</v>
      </c>
      <c r="D56" t="s">
        <v>9</v>
      </c>
      <c r="E56" t="s">
        <v>10</v>
      </c>
      <c r="F56" t="s">
        <v>102</v>
      </c>
      <c r="G56">
        <v>500</v>
      </c>
      <c r="H56">
        <f t="shared" si="0"/>
        <v>1.9088340841414067</v>
      </c>
    </row>
    <row r="57" spans="1:8" x14ac:dyDescent="0.3">
      <c r="A57" t="s">
        <v>2</v>
      </c>
      <c r="B57" t="s">
        <v>3</v>
      </c>
      <c r="C57" t="s">
        <v>8</v>
      </c>
      <c r="D57" t="s">
        <v>11</v>
      </c>
      <c r="E57" t="s">
        <v>30</v>
      </c>
      <c r="F57" t="s">
        <v>103</v>
      </c>
      <c r="G57">
        <v>7</v>
      </c>
      <c r="H57">
        <f t="shared" si="0"/>
        <v>2.6723677177979688E-2</v>
      </c>
    </row>
    <row r="58" spans="1:8" x14ac:dyDescent="0.3">
      <c r="A58" t="s">
        <v>2</v>
      </c>
      <c r="B58" t="s">
        <v>3</v>
      </c>
      <c r="C58" t="s">
        <v>8</v>
      </c>
      <c r="D58" t="s">
        <v>9</v>
      </c>
      <c r="E58" t="s">
        <v>10</v>
      </c>
      <c r="F58" t="s">
        <v>104</v>
      </c>
      <c r="G58">
        <v>97</v>
      </c>
      <c r="H58">
        <f t="shared" si="0"/>
        <v>0.37031381232343286</v>
      </c>
    </row>
    <row r="59" spans="1:8" x14ac:dyDescent="0.3">
      <c r="A59" t="s">
        <v>2</v>
      </c>
      <c r="B59" t="s">
        <v>105</v>
      </c>
      <c r="C59" t="s">
        <v>106</v>
      </c>
      <c r="D59" t="s">
        <v>107</v>
      </c>
      <c r="E59" t="s">
        <v>108</v>
      </c>
      <c r="F59" t="s">
        <v>109</v>
      </c>
      <c r="G59">
        <v>478</v>
      </c>
      <c r="H59">
        <f t="shared" si="0"/>
        <v>1.8248453844391845</v>
      </c>
    </row>
    <row r="60" spans="1:8" x14ac:dyDescent="0.3">
      <c r="A60" t="s">
        <v>2</v>
      </c>
      <c r="B60" t="s">
        <v>110</v>
      </c>
      <c r="C60" t="s">
        <v>111</v>
      </c>
      <c r="D60" t="s">
        <v>112</v>
      </c>
      <c r="E60" t="s">
        <v>113</v>
      </c>
      <c r="F60" t="s">
        <v>114</v>
      </c>
      <c r="G60">
        <v>36</v>
      </c>
      <c r="H60">
        <f t="shared" si="0"/>
        <v>0.13743605405818127</v>
      </c>
    </row>
    <row r="61" spans="1:8" x14ac:dyDescent="0.3">
      <c r="A61" t="s">
        <v>2</v>
      </c>
      <c r="B61" t="s">
        <v>3</v>
      </c>
      <c r="C61" t="s">
        <v>4</v>
      </c>
      <c r="D61" t="s">
        <v>5</v>
      </c>
      <c r="E61" t="s">
        <v>79</v>
      </c>
      <c r="F61" t="s">
        <v>115</v>
      </c>
      <c r="G61">
        <v>28</v>
      </c>
      <c r="H61">
        <f t="shared" si="0"/>
        <v>0.10689470871191875</v>
      </c>
    </row>
    <row r="62" spans="1:8" x14ac:dyDescent="0.3">
      <c r="A62" t="s">
        <v>2</v>
      </c>
      <c r="B62" t="s">
        <v>3</v>
      </c>
      <c r="C62" t="s">
        <v>8</v>
      </c>
      <c r="D62" t="s">
        <v>14</v>
      </c>
      <c r="E62" t="s">
        <v>15</v>
      </c>
      <c r="F62" t="s">
        <v>116</v>
      </c>
      <c r="G62">
        <v>1349</v>
      </c>
      <c r="H62">
        <f t="shared" si="0"/>
        <v>5.1500343590135147</v>
      </c>
    </row>
    <row r="63" spans="1:8" x14ac:dyDescent="0.3">
      <c r="A63" t="s">
        <v>2</v>
      </c>
      <c r="B63" t="s">
        <v>18</v>
      </c>
      <c r="C63" t="s">
        <v>35</v>
      </c>
      <c r="D63" t="s">
        <v>117</v>
      </c>
      <c r="E63" t="s">
        <v>118</v>
      </c>
      <c r="F63" t="s">
        <v>119</v>
      </c>
      <c r="G63">
        <v>548</v>
      </c>
      <c r="H63">
        <f t="shared" si="0"/>
        <v>2.0920821562189813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Relative_Abundance_with_Graph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Kiran</dc:creator>
  <cp:lastModifiedBy>Khushi Kiran</cp:lastModifiedBy>
  <dcterms:created xsi:type="dcterms:W3CDTF">2026-04-19T12:53:49Z</dcterms:created>
  <dcterms:modified xsi:type="dcterms:W3CDTF">2026-04-19T12:56:37Z</dcterms:modified>
</cp:coreProperties>
</file>